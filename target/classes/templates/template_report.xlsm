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ougl\MEGA\Automacao\Framework-full\src\main\resources\templates\"/>
    </mc:Choice>
  </mc:AlternateContent>
  <xr:revisionPtr revIDLastSave="0" documentId="13_ncr:1_{F76B745F-EEB8-4916-AFDF-FC07A5E3FCCA}" xr6:coauthVersionLast="45" xr6:coauthVersionMax="45" xr10:uidLastSave="{00000000-0000-0000-0000-000000000000}"/>
  <bookViews>
    <workbookView xWindow="-120" yWindow="-120" windowWidth="25440" windowHeight="15390" activeTab="1" xr2:uid="{00000000-000D-0000-FFFF-FFFF00000000}"/>
  </bookViews>
  <sheets>
    <sheet name="CT" sheetId="1" r:id="rId1"/>
    <sheet name="Report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2" l="1"/>
  <c r="F3" i="2"/>
  <c r="F2" i="2"/>
  <c r="E4" i="2"/>
  <c r="E3" i="2"/>
  <c r="E2" i="2"/>
  <c r="D4" i="2"/>
  <c r="D3" i="2"/>
  <c r="D2" i="2"/>
  <c r="C4" i="2"/>
  <c r="C3" i="2"/>
  <c r="C2" i="2"/>
  <c r="B4" i="2"/>
  <c r="B3" i="2"/>
  <c r="B2" i="2"/>
</calcChain>
</file>

<file path=xl/sharedStrings.xml><?xml version="1.0" encoding="utf-8"?>
<sst xmlns="http://schemas.openxmlformats.org/spreadsheetml/2006/main" count="15" uniqueCount="15">
  <si>
    <t>Status</t>
  </si>
  <si>
    <t>Total</t>
  </si>
  <si>
    <t>Geral</t>
  </si>
  <si>
    <t>API</t>
  </si>
  <si>
    <t>Mobile</t>
  </si>
  <si>
    <t>DeskTop</t>
  </si>
  <si>
    <t>CT</t>
  </si>
  <si>
    <t>Data e Hora</t>
  </si>
  <si>
    <t>Projeto</t>
  </si>
  <si>
    <t>Tipo</t>
  </si>
  <si>
    <t>FAILED</t>
  </si>
  <si>
    <t>PASSED</t>
  </si>
  <si>
    <t>Web</t>
  </si>
  <si>
    <t>Duration</t>
  </si>
  <si>
    <t>Error Cause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</si>
</sst>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hh:mm:ss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7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1" xfId="0" applyFill="1" applyBorder="1"/>
    <xf numFmtId="164" fontId="0" fillId="0" borderId="7" xfId="1" applyNumberFormat="1" applyFont="1" applyBorder="1"/>
    <xf numFmtId="164" fontId="0" fillId="0" borderId="6" xfId="1" applyNumberFormat="1" applyFont="1" applyBorder="1"/>
    <xf numFmtId="164" fontId="0" fillId="0" borderId="9" xfId="1" applyNumberFormat="1" applyFont="1" applyBorder="1"/>
    <xf numFmtId="164" fontId="0" fillId="0" borderId="8" xfId="1" applyNumberFormat="1" applyFont="1" applyBorder="1"/>
    <xf numFmtId="164" fontId="0" fillId="0" borderId="5" xfId="1" applyNumberFormat="1" applyFont="1" applyBorder="1"/>
    <xf numFmtId="164" fontId="0" fillId="0" borderId="10" xfId="1" applyNumberFormat="1" applyFont="1" applyBorder="1"/>
    <xf numFmtId="164" fontId="0" fillId="0" borderId="11" xfId="1" applyNumberFormat="1" applyFont="1" applyBorder="1"/>
    <xf numFmtId="164" fontId="0" fillId="0" borderId="12" xfId="1" applyNumberFormat="1" applyFont="1" applyBorder="1"/>
    <xf numFmtId="164" fontId="0" fillId="0" borderId="13" xfId="1" applyNumberFormat="1" applyFont="1" applyBorder="1"/>
    <xf numFmtId="0" fontId="0" fillId="0" borderId="0" xfId="0" applyFont="1"/>
    <xf numFmtId="0" fontId="2" fillId="0" borderId="4" xfId="0" applyFont="1" applyBorder="1"/>
    <xf numFmtId="165" fontId="0" fillId="2" borderId="1" xfId="0" applyNumberFormat="1" applyFill="1" applyBorder="1"/>
    <xf numFmtId="165" fontId="0" fillId="0" borderId="0" xfId="0" applyNumberForma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D2-44D7-9C9B-177858489B6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D2-44D7-9C9B-177858489B68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Report!$A$3:$A$4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Report!$B$3:$B$4</c:f>
              <c:numCache>
                <c:formatCode>_-* #,##0_-;\-* #,##0_-;_-*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86-4213-9232-BFCEB92B7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1"/>
          <c:order val="0"/>
          <c:tx>
            <c:strRef>
              <c:f>Report!$A$3</c:f>
              <c:strCache>
                <c:ptCount val="1"/>
                <c:pt idx="0">
                  <c:v>PASSED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Report!$B$1:$F$1</c:f>
              <c:strCache>
                <c:ptCount val="5"/>
                <c:pt idx="0">
                  <c:v>Geral</c:v>
                </c:pt>
                <c:pt idx="1">
                  <c:v>API</c:v>
                </c:pt>
                <c:pt idx="2">
                  <c:v>Web</c:v>
                </c:pt>
                <c:pt idx="3">
                  <c:v>Mobile</c:v>
                </c:pt>
                <c:pt idx="4">
                  <c:v>DeskTop</c:v>
                </c:pt>
              </c:strCache>
            </c:strRef>
          </c:cat>
          <c:val>
            <c:numRef>
              <c:f>Report!$B$3:$F$3</c:f>
              <c:numCache>
                <c:formatCode>_-* #,##0_-;\-* #,##0_-;_-*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D-4A37-B3B9-26CE4C7E0D82}"/>
            </c:ext>
          </c:extLst>
        </c:ser>
        <c:ser>
          <c:idx val="2"/>
          <c:order val="1"/>
          <c:tx>
            <c:strRef>
              <c:f>Report!$A$4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Report!$B$1:$F$1</c:f>
              <c:strCache>
                <c:ptCount val="5"/>
                <c:pt idx="0">
                  <c:v>Geral</c:v>
                </c:pt>
                <c:pt idx="1">
                  <c:v>API</c:v>
                </c:pt>
                <c:pt idx="2">
                  <c:v>Web</c:v>
                </c:pt>
                <c:pt idx="3">
                  <c:v>Mobile</c:v>
                </c:pt>
                <c:pt idx="4">
                  <c:v>DeskTop</c:v>
                </c:pt>
              </c:strCache>
            </c:strRef>
          </c:cat>
          <c:val>
            <c:numRef>
              <c:f>Report!$B$4:$F$4</c:f>
              <c:numCache>
                <c:formatCode>_-* #,##0_-;\-* #,##0_-;_-*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2D-4A37-B3B9-26CE4C7E0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8084888"/>
        <c:axId val="528083576"/>
      </c:barChart>
      <c:catAx>
        <c:axId val="528084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083576"/>
        <c:crosses val="autoZero"/>
        <c:auto val="1"/>
        <c:lblAlgn val="ctr"/>
        <c:lblOffset val="100"/>
        <c:noMultiLvlLbl val="0"/>
      </c:catAx>
      <c:valAx>
        <c:axId val="52808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08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5</xdr:row>
      <xdr:rowOff>4762</xdr:rowOff>
    </xdr:from>
    <xdr:to>
      <xdr:col>7</xdr:col>
      <xdr:colOff>323850</xdr:colOff>
      <xdr:row>19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19</xdr:row>
      <xdr:rowOff>80962</xdr:rowOff>
    </xdr:from>
    <xdr:to>
      <xdr:col>7</xdr:col>
      <xdr:colOff>323850</xdr:colOff>
      <xdr:row>33</xdr:row>
      <xdr:rowOff>157162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</xdr:row>
          <xdr:rowOff>76200</xdr:rowOff>
        </xdr:from>
        <xdr:to>
          <xdr:col>7</xdr:col>
          <xdr:colOff>247650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1"/>
  <sheetViews>
    <sheetView workbookViewId="0"/>
  </sheetViews>
  <sheetFormatPr defaultRowHeight="15" x14ac:dyDescent="0.25"/>
  <cols>
    <col min="1" max="1" width="22.7109375" customWidth="1"/>
    <col min="2" max="2" width="62.42578125" customWidth="1" collapsed="1"/>
    <col min="3" max="3" width="13.5703125" customWidth="1" collapsed="1"/>
    <col min="4" max="4" width="19.7109375" customWidth="1"/>
    <col min="6" max="6" width="20" style="16" customWidth="1"/>
    <col min="7" max="7" width="42.7109375" customWidth="1"/>
  </cols>
  <sheetData>
    <row r="1" spans="1:7" ht="15.75" thickBot="1" x14ac:dyDescent="0.3">
      <c r="A1" s="1" t="s">
        <v>8</v>
      </c>
      <c r="B1" s="3" t="s">
        <v>6</v>
      </c>
      <c r="C1" s="3" t="s">
        <v>0</v>
      </c>
      <c r="D1" s="3" t="s">
        <v>7</v>
      </c>
      <c r="E1" s="3" t="s">
        <v>9</v>
      </c>
      <c r="F1" s="15" t="s">
        <v>13</v>
      </c>
      <c r="G1" s="15" t="s">
        <v>14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11"/>
  <sheetViews>
    <sheetView tabSelected="1" workbookViewId="0"/>
  </sheetViews>
  <sheetFormatPr defaultRowHeight="15" x14ac:dyDescent="0.25"/>
  <sheetData>
    <row r="1" spans="1:11" ht="15.75" thickBot="1" x14ac:dyDescent="0.3">
      <c r="A1" s="14"/>
      <c r="B1" s="1" t="s">
        <v>2</v>
      </c>
      <c r="C1" s="3" t="s">
        <v>3</v>
      </c>
      <c r="D1" s="3" t="s">
        <v>12</v>
      </c>
      <c r="E1" s="3" t="s">
        <v>4</v>
      </c>
      <c r="F1" s="2" t="s">
        <v>5</v>
      </c>
    </row>
    <row r="2" spans="1:11" ht="15.75" thickBot="1" x14ac:dyDescent="0.3">
      <c r="A2" s="3" t="s">
        <v>1</v>
      </c>
      <c r="B2" s="4">
        <f>COUNTA(CT!A2:A1972)</f>
        <v>0</v>
      </c>
      <c r="C2" s="5">
        <f>COUNTIF(CT!$E$2:$E$1972,C$1)</f>
        <v>0</v>
      </c>
      <c r="D2" s="5">
        <f>COUNTIF(CT!$E$2:$E$1972,D$1)</f>
        <v>0</v>
      </c>
      <c r="E2" s="5">
        <f>COUNTIF(CT!$E$2:$E$1972,E$1)</f>
        <v>0</v>
      </c>
      <c r="F2" s="6">
        <f>COUNTIF(CT!$E$2:$E$1972,F$1)</f>
        <v>0</v>
      </c>
    </row>
    <row r="3" spans="1:11" ht="15.75" thickBot="1" x14ac:dyDescent="0.3">
      <c r="A3" s="3" t="s">
        <v>11</v>
      </c>
      <c r="B3" s="7">
        <f>COUNTIF(CT!C2:C1972,A3)</f>
        <v>0</v>
      </c>
      <c r="C3" s="8">
        <f>COUNTIFS(CT!$C$2:$C$1972,$A3,CT!$E$2:$E$1972,C$1)</f>
        <v>0</v>
      </c>
      <c r="D3" s="8">
        <f>COUNTIFS(CT!$C$2:$C$1972,$A3,CT!$E$2:$E$1972,D$1)</f>
        <v>0</v>
      </c>
      <c r="E3" s="8">
        <f>COUNTIFS(CT!$C$2:$C$1972,$A3,CT!$E$2:$E$1972,E$1)</f>
        <v>0</v>
      </c>
      <c r="F3" s="9">
        <f>COUNTIFS(CT!$C$2:$C$1972,$A3,CT!$E$2:$E$1972,F$1)</f>
        <v>0</v>
      </c>
    </row>
    <row r="4" spans="1:11" ht="15.75" thickBot="1" x14ac:dyDescent="0.3">
      <c r="A4" s="3" t="s">
        <v>10</v>
      </c>
      <c r="B4" s="10">
        <f>COUNTIF(CT!C2:C1972,A4)</f>
        <v>0</v>
      </c>
      <c r="C4" s="11">
        <f>COUNTIFS(CT!$C$2:$C$1972,$A4,CT!$E$2:$E$1972,C$1)</f>
        <v>0</v>
      </c>
      <c r="D4" s="11">
        <f>COUNTIFS(CT!$C$2:$C$1972,$A4,CT!$E$2:$E$1972,D$1)</f>
        <v>0</v>
      </c>
      <c r="E4" s="11">
        <f>COUNTIFS(CT!$C$2:$C$1972,$A4,CT!$E$2:$E$1972,E$1)</f>
        <v>0</v>
      </c>
      <c r="F4" s="12">
        <f>COUNTIFS(CT!$C$2:$C$1972,$A4,CT!$E$2:$E$1972,F$1)</f>
        <v>0</v>
      </c>
    </row>
    <row r="11" spans="1:11" x14ac:dyDescent="0.25">
      <c r="K11" s="13"/>
    </row>
  </sheetData>
  <pageMargins left="0.511811024" right="0.511811024" top="0.78740157499999996" bottom="0.78740157499999996" header="0.31496062000000002" footer="0.31496062000000002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r">
                <anchor moveWithCells="1">
                  <from>
                    <xdr:col>6</xdr:col>
                    <xdr:colOff>133350</xdr:colOff>
                    <xdr:row>1</xdr:row>
                    <xdr:rowOff>76200</xdr:rowOff>
                  </from>
                  <to>
                    <xdr:col>7</xdr:col>
                    <xdr:colOff>247650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CT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Gelli</dc:creator>
  <cp:lastModifiedBy>Douglas Gelli</cp:lastModifiedBy>
  <dcterms:created xsi:type="dcterms:W3CDTF">2020-06-01T13:55:10Z</dcterms:created>
  <dcterms:modified xsi:type="dcterms:W3CDTF">2020-06-15T20:41:53Z</dcterms:modified>
</cp:coreProperties>
</file>